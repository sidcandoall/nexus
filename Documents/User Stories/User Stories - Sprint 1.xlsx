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30f4680ccc79b8c/Documentos/"/>
    </mc:Choice>
  </mc:AlternateContent>
  <xr:revisionPtr revIDLastSave="0" documentId="8_{EE600572-1C0C-40E8-AA58-837F5F7B8A69}" xr6:coauthVersionLast="47" xr6:coauthVersionMax="47" xr10:uidLastSave="{00000000-0000-0000-0000-000000000000}"/>
  <bookViews>
    <workbookView minimized="1" xWindow="0" yWindow="760" windowWidth="30240" windowHeight="17180" firstSheet="1" activeTab="1" xr2:uid="{00000000-000D-0000-FFFF-FFFF00000000}"/>
  </bookViews>
  <sheets>
    <sheet name="Sprint 1 - Planning" sheetId="1" r:id="rId1"/>
    <sheet name="Task Breakdown - Final 1" sheetId="4" r:id="rId2"/>
    <sheet name="Task Breakdown" sheetId="2" r:id="rId3"/>
    <sheet name="Sprint 1 - Chintan" sheetId="3" r:id="rId4"/>
  </sheets>
  <calcPr calcId="191028"/>
  <pivotCaches>
    <pivotCache cacheId="350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4" l="1"/>
  <c r="F19" i="3"/>
  <c r="F19" i="1"/>
  <c r="H2" i="2"/>
</calcChain>
</file>

<file path=xl/sharedStrings.xml><?xml version="1.0" encoding="utf-8"?>
<sst xmlns="http://schemas.openxmlformats.org/spreadsheetml/2006/main" count="485" uniqueCount="161">
  <si>
    <t>ID</t>
  </si>
  <si>
    <t>Type</t>
  </si>
  <si>
    <t>User Story</t>
  </si>
  <si>
    <t>Acceptance Criteria</t>
  </si>
  <si>
    <t>Priority (MoSCoW)</t>
  </si>
  <si>
    <t>Story Points</t>
  </si>
  <si>
    <t>Co-Owner</t>
  </si>
  <si>
    <t>Owner(s)</t>
  </si>
  <si>
    <t>Status</t>
  </si>
  <si>
    <t>Notes</t>
  </si>
  <si>
    <t>US1</t>
  </si>
  <si>
    <t>Feature</t>
  </si>
  <si>
    <t>As a user, I want to write and submit a journal entry so that I can reflect on my daily emotions.</t>
  </si>
  <si>
    <t>Text input available; Submit works; No empty submission</t>
  </si>
  <si>
    <t>Must</t>
  </si>
  <si>
    <t>Rafaela</t>
  </si>
  <si>
    <t>Vanessa</t>
  </si>
  <si>
    <t>To Do</t>
  </si>
  <si>
    <t>Frontend form</t>
  </si>
  <si>
    <t>US2</t>
  </si>
  <si>
    <t>As a user, I want my journal entry to be processed after submission so that I can receive emotional analysis.</t>
  </si>
  <si>
    <t>Entry sent to backend successfully; No submission errors</t>
  </si>
  <si>
    <t>Chintan</t>
  </si>
  <si>
    <t>API connection</t>
  </si>
  <si>
    <t>US3</t>
  </si>
  <si>
    <t>As a user, I want my journal entry analyzed by AI so that I understand whether my emotional tone is positive, neutral, or negative.</t>
  </si>
  <si>
    <t>Backend sends text to model; Sentiment label returned</t>
  </si>
  <si>
    <t>Sanket</t>
  </si>
  <si>
    <t>Krishna</t>
  </si>
  <si>
    <t>DistilBERT integration</t>
  </si>
  <si>
    <t>US4</t>
  </si>
  <si>
    <t>As a user, I want to see how confident the system is in its prediction so that I can better interpret the result.</t>
  </si>
  <si>
    <t>Confidence score extracted and returned</t>
  </si>
  <si>
    <t>Should</t>
  </si>
  <si>
    <t>Probability score</t>
  </si>
  <si>
    <t>US5</t>
  </si>
  <si>
    <t>As a user, I want to see my sentiment result immediately after submission so that I receive instant feedback.</t>
  </si>
  <si>
    <t>Sentiment + confidence displayed; No page reload</t>
  </si>
  <si>
    <t>Could</t>
  </si>
  <si>
    <t>UI display</t>
  </si>
  <si>
    <t>US6</t>
  </si>
  <si>
    <t>As a user, I want to see a simple visualization of my mood history so that I can begin identifying patterns.</t>
  </si>
  <si>
    <t>Simple chart renders; Updates after submission</t>
  </si>
  <si>
    <t>Basic chart</t>
  </si>
  <si>
    <t>US7</t>
  </si>
  <si>
    <t>As a user, I want input validation so that my journal entries follow length and character rules.</t>
  </si>
  <si>
    <t>Max length enforced; Allowed characters checked; No empty submissions</t>
  </si>
  <si>
    <t>US8</t>
  </si>
  <si>
    <t>As a user, I want a confirmation message when my entry is submitted so that I know it was received.</t>
  </si>
  <si>
    <t>Submission confirmation displayed in UI</t>
  </si>
  <si>
    <t>US9</t>
  </si>
  <si>
    <t>As a user, I want to see friendly error messages if submission or analysis fails so that I understand what went wrong.</t>
  </si>
  <si>
    <t>Backend/model errors caught; Clear error displayed</t>
  </si>
  <si>
    <t>US10</t>
  </si>
  <si>
    <t>As a user, I want the input field to reset after submission so that I can write a new entry easily.</t>
  </si>
  <si>
    <t>Input cleared after successful submission</t>
  </si>
  <si>
    <t>US11</t>
  </si>
  <si>
    <t>As a user, I want to register an account so that my journal entries are securely stored</t>
  </si>
  <si>
    <t>Email &amp; password required, Password hashed, User saved in database, Duplicate email prevented</t>
  </si>
  <si>
    <t>Will Not Have</t>
  </si>
  <si>
    <t>US12</t>
  </si>
  <si>
    <t>As a user, I want to log in so that I can access my journal dashboard.</t>
  </si>
  <si>
    <t>JWT token generated, Protected routes enforced, Login eroor handling</t>
  </si>
  <si>
    <t>US13</t>
  </si>
  <si>
    <t>As a user, I want to view my previous journal entries so that I can reflect on past emotional states</t>
  </si>
  <si>
    <t>List view of entries, Emotion label shown, Sorted by date</t>
  </si>
  <si>
    <t>TASK-R1</t>
  </si>
  <si>
    <t>Process</t>
  </si>
  <si>
    <t>Prepare for retrospective</t>
  </si>
  <si>
    <t>Gather metrics &amp; blockers</t>
  </si>
  <si>
    <t>TASK-R2</t>
  </si>
  <si>
    <t>Conduct Sprint 1 Retrospective and document action items.</t>
  </si>
  <si>
    <t>Meeting completed; Notes documented</t>
  </si>
  <si>
    <t>End of sprint</t>
  </si>
  <si>
    <t>TASK-R3</t>
  </si>
  <si>
    <t>Prepare Sprint Planning 2</t>
  </si>
  <si>
    <t>Gather metrics &amp; user stories</t>
  </si>
  <si>
    <t>Sprint Name</t>
  </si>
  <si>
    <t>Sprint 1</t>
  </si>
  <si>
    <t>Total Story Points Committed</t>
  </si>
  <si>
    <t>Sprint Duration</t>
  </si>
  <si>
    <t>February 20th, 2026 - March , 2026</t>
  </si>
  <si>
    <t>Sprint Length</t>
  </si>
  <si>
    <t>3 Weeks</t>
  </si>
  <si>
    <t>Sprint Goal</t>
  </si>
  <si>
    <t>Deliver functional journal submission with sentiment analysis and basic visualization</t>
  </si>
  <si>
    <t>Parent Story</t>
  </si>
  <si>
    <t>Technical Task</t>
  </si>
  <si>
    <t>Owner</t>
  </si>
  <si>
    <t>Estimated Hours</t>
  </si>
  <si>
    <t>Design journal input form</t>
  </si>
  <si>
    <t>TOTAL HOURS</t>
  </si>
  <si>
    <t>Implement submit function</t>
  </si>
  <si>
    <t>Add form validation (no empty submission, max length, allowed characters)</t>
  </si>
  <si>
    <t>Set up backend endpoint for journal entries</t>
  </si>
  <si>
    <t>Sum of Estimated Hours</t>
  </si>
  <si>
    <t>Connect frontend to backend endpoint</t>
  </si>
  <si>
    <t>Test submission with dummy data</t>
  </si>
  <si>
    <t>Reserch/test DistilBERT sentiment pipeline</t>
  </si>
  <si>
    <t>Install Hugging face transformers</t>
  </si>
  <si>
    <t>Implement sentiment service function</t>
  </si>
  <si>
    <t>Map model output to: Positive / Neutral / Negative</t>
  </si>
  <si>
    <t>(blank)</t>
  </si>
  <si>
    <t>Extract confidence score</t>
  </si>
  <si>
    <t>Grand Total</t>
  </si>
  <si>
    <t>Integrate model in POST/journal flow</t>
  </si>
  <si>
    <t>Store sentiment + confidence in DB</t>
  </si>
  <si>
    <t>Unit test model integration</t>
  </si>
  <si>
    <t>Fine-tune / adapt model for journal data</t>
  </si>
  <si>
    <t>Extract confidence probability from model</t>
  </si>
  <si>
    <t>Display sentiment label in UI</t>
  </si>
  <si>
    <t>Display confidence score</t>
  </si>
  <si>
    <t>Prevent page relod</t>
  </si>
  <si>
    <t>Test UI + Backend response</t>
  </si>
  <si>
    <t>Install chart library</t>
  </si>
  <si>
    <t>Aggregate sentiment counts</t>
  </si>
  <si>
    <t>Implement basic bar chart</t>
  </si>
  <si>
    <t>Update chart after new submission</t>
  </si>
  <si>
    <t>Test chart updates</t>
  </si>
  <si>
    <t>Add frontend validation</t>
  </si>
  <si>
    <t>Add backend validation (Pydantic)</t>
  </si>
  <si>
    <t>Display validation error messages UI</t>
  </si>
  <si>
    <t>Display validation error messages</t>
  </si>
  <si>
    <t>Show success toast/message</t>
  </si>
  <si>
    <t>Handle backend exceptions</t>
  </si>
  <si>
    <t>Handle AI model failure</t>
  </si>
  <si>
    <t>Handle network errors in frontend</t>
  </si>
  <si>
    <t>Display friednly UI error messages</t>
  </si>
  <si>
    <t>Clear textarea after successful submit</t>
  </si>
  <si>
    <t>Design User schema (mongodb)</t>
  </si>
  <si>
    <t>Implement password hashing</t>
  </si>
  <si>
    <t>Create POST/register endpoint</t>
  </si>
  <si>
    <t>Prevent duplicate email registration</t>
  </si>
  <si>
    <t>Text registration via Postman</t>
  </si>
  <si>
    <t>Build frontend registration form</t>
  </si>
  <si>
    <t>Display friednly error messages</t>
  </si>
  <si>
    <t>Implement JWT token generation</t>
  </si>
  <si>
    <t>Create post/login endpoint</t>
  </si>
  <si>
    <t>Protect journal routes with JWT</t>
  </si>
  <si>
    <t>Store token in frontend</t>
  </si>
  <si>
    <t>Implement protected routes in React</t>
  </si>
  <si>
    <t>Test authentication flow</t>
  </si>
  <si>
    <t>Create GET/journal endpoint</t>
  </si>
  <si>
    <t>Filter entries by logged-in user</t>
  </si>
  <si>
    <t>Sort entries by date</t>
  </si>
  <si>
    <t>Build journal history UI list</t>
  </si>
  <si>
    <t>Display sentiment tag per entry</t>
  </si>
  <si>
    <t>Test retrieval flow</t>
  </si>
  <si>
    <t>Conduct retrospective</t>
  </si>
  <si>
    <t>Research/test DistilBERT model</t>
  </si>
  <si>
    <t>Integrate DistilBERT model in backend</t>
  </si>
  <si>
    <t>Display sentiment and confidence in UI</t>
  </si>
  <si>
    <t>Test UI integration with backend</t>
  </si>
  <si>
    <t>Implement basic bar chart visualization</t>
  </si>
  <si>
    <t>Update chart after submission</t>
  </si>
  <si>
    <t>Show submission confirmation message</t>
  </si>
  <si>
    <t>Implement error handling for submission/model failure</t>
  </si>
  <si>
    <t>Reset input field after submission</t>
  </si>
  <si>
    <t>As a user, I want my submitted journal entry to be analyzed by AI so that i understand whether my emotional tone is positive, neutral or negative</t>
  </si>
  <si>
    <t>Backend receives text, Text send to DistilBERT, Sentiment label returned, Label stored in database</t>
  </si>
  <si>
    <t>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</si>
</sst>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/>
    <xf numFmtId="0" fontId="0" fillId="4" borderId="0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6" borderId="0" xfId="0" applyFill="1" applyAlignment="1">
      <alignment horizontal="left"/>
    </xf>
    <xf numFmtId="0" fontId="0" fillId="6" borderId="0" xfId="0" applyNumberFormat="1" applyFill="1"/>
    <xf numFmtId="0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Fill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44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 patternType="solid">
          <bgColor theme="2" tint="-9.9978637043366805E-2"/>
        </patternFill>
      </fill>
    </dxf>
    <dxf>
      <fill>
        <patternFill patternType="solid">
          <bgColor theme="2" tint="-9.9978637043366805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faela Hollanda" refreshedDate="46075.481315972225" createdVersion="8" refreshedVersion="8" minRefreshableVersion="3" recordCount="58" xr:uid="{FA595765-5CF7-3045-98CA-D64939B0F6FC}">
  <cacheSource type="worksheet">
    <worksheetSource ref="A1:E1048576" sheet="Task Breakdown - Final 1"/>
  </cacheSource>
  <cacheFields count="5">
    <cacheField name="Parent Story" numFmtId="0">
      <sharedItems containsBlank="1"/>
    </cacheField>
    <cacheField name="Technical Task" numFmtId="0">
      <sharedItems containsBlank="1"/>
    </cacheField>
    <cacheField name="Owner" numFmtId="0">
      <sharedItems containsBlank="1" count="6">
        <s v="Vanessa"/>
        <s v="Rafaela"/>
        <s v="Chintan"/>
        <s v="Krishna"/>
        <s v="Sanket"/>
        <m/>
      </sharedItems>
    </cacheField>
    <cacheField name="Status" numFmtId="0">
      <sharedItems containsBlank="1"/>
    </cacheField>
    <cacheField name="Estimated Hours" numFmtId="0">
      <sharedItems containsString="0" containsBlank="1" containsNumber="1" minValue="0.5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US1"/>
    <s v="Design journal input form"/>
    <x v="0"/>
    <s v="To Do"/>
    <n v="3"/>
  </r>
  <r>
    <s v="US1"/>
    <s v="Implement submit function"/>
    <x v="1"/>
    <s v="To Do"/>
    <n v="2"/>
  </r>
  <r>
    <s v="US1"/>
    <s v="Add form validation (no empty submission, max length, allowed characters)"/>
    <x v="1"/>
    <s v="To Do"/>
    <n v="2"/>
  </r>
  <r>
    <s v="US2"/>
    <s v="Set up backend endpoint for journal entries"/>
    <x v="1"/>
    <s v="To Do"/>
    <n v="2"/>
  </r>
  <r>
    <s v="US2"/>
    <s v="Connect frontend to backend endpoint"/>
    <x v="1"/>
    <s v="To Do"/>
    <n v="1"/>
  </r>
  <r>
    <s v="US2"/>
    <s v="Test submission with dummy data"/>
    <x v="2"/>
    <s v="To Do"/>
    <n v="1"/>
  </r>
  <r>
    <s v="US3"/>
    <s v="Reserch/test DistilBERT sentiment pipeline"/>
    <x v="3"/>
    <s v="To Do"/>
    <n v="3"/>
  </r>
  <r>
    <s v="US3"/>
    <s v="Install Hugging face transformers"/>
    <x v="4"/>
    <s v="To Do"/>
    <n v="1"/>
  </r>
  <r>
    <s v="US3"/>
    <s v="Implement sentiment service function"/>
    <x v="4"/>
    <s v="To Do"/>
    <n v="2.5"/>
  </r>
  <r>
    <s v="US3"/>
    <s v="Map model output to: Positive / Neutral / Negative"/>
    <x v="3"/>
    <s v="To Do"/>
    <n v="5"/>
  </r>
  <r>
    <s v="US3"/>
    <s v="Extract confidence score"/>
    <x v="3"/>
    <s v="To Do"/>
    <n v="3"/>
  </r>
  <r>
    <s v="US3"/>
    <s v="Integrate model in POST/journal flow"/>
    <x v="4"/>
    <s v="To Do"/>
    <n v="3"/>
  </r>
  <r>
    <s v="US3"/>
    <s v="Store sentiment + confidence in DB"/>
    <x v="4"/>
    <s v="To Do"/>
    <n v="4"/>
  </r>
  <r>
    <s v="US3"/>
    <s v="Unit test model integration"/>
    <x v="3"/>
    <s v="To Do"/>
    <n v="2"/>
  </r>
  <r>
    <s v="US3"/>
    <s v="Fine-tune / adapt model for journal data"/>
    <x v="3"/>
    <s v="To Do"/>
    <n v="4"/>
  </r>
  <r>
    <s v="US4"/>
    <s v="Extract confidence probability from model"/>
    <x v="3"/>
    <s v="To Do"/>
    <n v="1"/>
  </r>
  <r>
    <s v="US5"/>
    <s v="Display sentiment label in UI"/>
    <x v="0"/>
    <s v="To Do"/>
    <n v="1"/>
  </r>
  <r>
    <s v="US5"/>
    <s v="Display confidence score"/>
    <x v="0"/>
    <s v="To Do"/>
    <n v="1"/>
  </r>
  <r>
    <s v="US5"/>
    <s v="Prevent page relod"/>
    <x v="4"/>
    <s v="To Do"/>
    <n v="1"/>
  </r>
  <r>
    <s v="US5"/>
    <s v="Test UI + Backend response"/>
    <x v="2"/>
    <s v="To Do"/>
    <n v="1"/>
  </r>
  <r>
    <s v="US6"/>
    <s v="Install chart library"/>
    <x v="1"/>
    <s v="To Do"/>
    <n v="3"/>
  </r>
  <r>
    <s v="US6"/>
    <s v="Aggregate sentiment counts"/>
    <x v="3"/>
    <s v="To Do"/>
    <n v="3"/>
  </r>
  <r>
    <s v="US6"/>
    <s v="Implement basic bar chart"/>
    <x v="1"/>
    <s v="To Do"/>
    <n v="2"/>
  </r>
  <r>
    <s v="US6"/>
    <s v="Update chart after new submission"/>
    <x v="1"/>
    <s v="To Do"/>
    <n v="2"/>
  </r>
  <r>
    <s v="US6"/>
    <s v="Test chart updates"/>
    <x v="2"/>
    <s v="To Do"/>
    <n v="1"/>
  </r>
  <r>
    <s v="US7"/>
    <s v="Add frontend validation"/>
    <x v="0"/>
    <s v="To Do"/>
    <n v="2"/>
  </r>
  <r>
    <s v="US7"/>
    <s v="Add backend validation (Pydantic)"/>
    <x v="1"/>
    <s v="To Do"/>
    <n v="2"/>
  </r>
  <r>
    <s v="US7"/>
    <s v="Display validation error messages UI"/>
    <x v="0"/>
    <s v="To Do"/>
    <n v="1"/>
  </r>
  <r>
    <s v="US7"/>
    <s v="Display validation error messages"/>
    <x v="1"/>
    <s v="To Do"/>
    <n v="1"/>
  </r>
  <r>
    <s v="US8"/>
    <s v="Show success toast/message"/>
    <x v="2"/>
    <s v="To Do"/>
    <n v="1"/>
  </r>
  <r>
    <s v="US9"/>
    <s v="Handle backend exceptions"/>
    <x v="2"/>
    <s v="To Do"/>
    <n v="2"/>
  </r>
  <r>
    <s v="US9"/>
    <s v="Handle AI model failure"/>
    <x v="3"/>
    <s v="To Do"/>
    <n v="2"/>
  </r>
  <r>
    <s v="US9"/>
    <s v="Handle network errors in frontend"/>
    <x v="2"/>
    <s v="To Do"/>
    <n v="1"/>
  </r>
  <r>
    <s v="US9"/>
    <s v="Display friednly UI error messages"/>
    <x v="2"/>
    <s v="To Do"/>
    <n v="1.5"/>
  </r>
  <r>
    <s v="US10"/>
    <s v="Clear textarea after successful submit"/>
    <x v="1"/>
    <s v="To Do"/>
    <n v="0.5"/>
  </r>
  <r>
    <s v="US11"/>
    <s v="Design User schema (mongodb)"/>
    <x v="5"/>
    <m/>
    <m/>
  </r>
  <r>
    <s v="US11"/>
    <s v="Implement password hashing"/>
    <x v="5"/>
    <m/>
    <m/>
  </r>
  <r>
    <s v="US11"/>
    <s v="Create POST/register endpoint"/>
    <x v="5"/>
    <m/>
    <m/>
  </r>
  <r>
    <s v="US11"/>
    <s v="Prevent duplicate email registration"/>
    <x v="5"/>
    <m/>
    <m/>
  </r>
  <r>
    <s v="US11"/>
    <s v="Text registration via Postman"/>
    <x v="5"/>
    <m/>
    <m/>
  </r>
  <r>
    <s v="US11"/>
    <s v="Build frontend registration form"/>
    <x v="5"/>
    <m/>
    <m/>
  </r>
  <r>
    <s v="US11"/>
    <s v="Connect frontend to backend endpoint"/>
    <x v="5"/>
    <m/>
    <m/>
  </r>
  <r>
    <s v="US11"/>
    <s v="Display friednly error messages"/>
    <x v="5"/>
    <m/>
    <m/>
  </r>
  <r>
    <s v="US12"/>
    <s v="Implement JWT token generation"/>
    <x v="5"/>
    <m/>
    <m/>
  </r>
  <r>
    <s v="US12"/>
    <s v="Create post/login endpoint"/>
    <x v="5"/>
    <m/>
    <m/>
  </r>
  <r>
    <s v="US12"/>
    <s v="Protect journal routes with JWT"/>
    <x v="5"/>
    <m/>
    <m/>
  </r>
  <r>
    <s v="US12"/>
    <s v="Store token in frontend"/>
    <x v="5"/>
    <m/>
    <m/>
  </r>
  <r>
    <s v="US12"/>
    <s v="Implement protected routes in React"/>
    <x v="5"/>
    <m/>
    <m/>
  </r>
  <r>
    <s v="US12"/>
    <s v="Test authentication flow"/>
    <x v="5"/>
    <m/>
    <m/>
  </r>
  <r>
    <s v="US13"/>
    <s v="Create GET/journal endpoint"/>
    <x v="2"/>
    <s v="To Do"/>
    <n v="3"/>
  </r>
  <r>
    <s v="US13"/>
    <s v="Filter entries by logged-in user"/>
    <x v="5"/>
    <m/>
    <m/>
  </r>
  <r>
    <s v="US13"/>
    <s v="Sort entries by date"/>
    <x v="2"/>
    <s v="To Do"/>
    <n v="2"/>
  </r>
  <r>
    <s v="US13"/>
    <s v="Build journal history UI list"/>
    <x v="0"/>
    <s v="To Do"/>
    <n v="2"/>
  </r>
  <r>
    <s v="US13"/>
    <s v="Display sentiment tag per entry"/>
    <x v="2"/>
    <s v="To Do"/>
    <n v="2"/>
  </r>
  <r>
    <s v="US13"/>
    <s v="Test retrieval flow"/>
    <x v="2"/>
    <s v="To Do"/>
    <n v="1"/>
  </r>
  <r>
    <s v="TASK-R1"/>
    <s v="Prepare for retrospective"/>
    <x v="5"/>
    <m/>
    <m/>
  </r>
  <r>
    <s v="TASK-R2"/>
    <s v="Conduct retrospective"/>
    <x v="5"/>
    <m/>
    <m/>
  </r>
  <r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03056-B568-1443-BC6A-30957D993469}" name="Hours by Owner" cacheId="35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wner">
  <location ref="G5:H12" firstHeaderRow="1" firstDataRow="1" firstDataCol="1"/>
  <pivotFields count="5">
    <pivotField showAll="0"/>
    <pivotField showAll="0"/>
    <pivotField axis="axisRow" showAll="0">
      <items count="7">
        <item x="2"/>
        <item x="3"/>
        <item x="1"/>
        <item x="4"/>
        <item x="0"/>
        <item x="5"/>
        <item t="default"/>
      </items>
    </pivotField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stimated Hours" fld="4" baseField="0" baseItem="0"/>
  </dataFields>
  <formats count="7">
    <format dxfId="37">
      <pivotArea collapsedLevelsAreSubtotals="1" fieldPosition="0">
        <references count="1">
          <reference field="2" count="0"/>
        </references>
      </pivotArea>
    </format>
    <format dxfId="38">
      <pivotArea dataOnly="0" labelOnly="1" fieldPosition="0">
        <references count="1">
          <reference field="2" count="0"/>
        </references>
      </pivotArea>
    </format>
    <format dxfId="39">
      <pivotArea collapsedLevelsAreSubtotals="1" fieldPosition="0">
        <references count="1">
          <reference field="2" count="0"/>
        </references>
      </pivotArea>
    </format>
    <format dxfId="40">
      <pivotArea dataOnly="0" labelOnly="1" fieldPosition="0">
        <references count="1">
          <reference field="2" count="0"/>
        </references>
      </pivotArea>
    </format>
    <format dxfId="41">
      <pivotArea grandRow="1" outline="0" collapsedLevelsAreSubtotals="1" fieldPosition="0"/>
    </format>
    <format dxfId="42">
      <pivotArea dataOnly="0" labelOnly="1" grandRow="1" outline="0" fieldPosition="0"/>
    </format>
    <format dxfId="43">
      <pivotArea field="2" type="button" dataOnly="0" labelOnly="1" outline="0" axis="axisRow" fieldPosition="0"/>
    </format>
  </formats>
  <pivotTableStyleInfo name="PivotStyleMedium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4EB69C-D735-C749-92D9-16915BA7AB24}" name="Table3" displayName="Table3" ref="A1:J17" totalsRowShown="0" headerRowDxfId="36" dataDxfId="35">
  <autoFilter ref="A1:J17" xr:uid="{8C4EB69C-D735-C749-92D9-16915BA7AB24}"/>
  <tableColumns count="10">
    <tableColumn id="1" xr3:uid="{C053528B-D87F-0347-8F20-E9F2147D07C0}" name="ID" dataDxfId="34"/>
    <tableColumn id="2" xr3:uid="{48C96842-F3AC-F842-9B14-434E1B310E4B}" name="Type" dataDxfId="33"/>
    <tableColumn id="3" xr3:uid="{377DFB8D-ABEB-244D-9E43-E45D93C39645}" name="User Story" dataDxfId="32"/>
    <tableColumn id="4" xr3:uid="{F22BAF78-0250-C047-9B02-8EF186AE0DAB}" name="Acceptance Criteria" dataDxfId="31"/>
    <tableColumn id="5" xr3:uid="{BCAB4F49-694E-204B-9736-C2250954F620}" name="Priority (MoSCoW)" dataDxfId="30"/>
    <tableColumn id="6" xr3:uid="{6590084D-CB14-A84C-9665-AFA3F553EF50}" name="Story Points" dataDxfId="29"/>
    <tableColumn id="10" xr3:uid="{A5DF8084-6552-214A-B0B5-93E3FE7AC0FD}" name="Co-Owner" dataDxfId="28"/>
    <tableColumn id="7" xr3:uid="{571E103C-3ED3-944B-A914-4B517DF3A040}" name="Owner(s)" dataDxfId="27"/>
    <tableColumn id="8" xr3:uid="{62B452D4-43DC-A044-97F5-27F544488492}" name="Status" dataDxfId="26"/>
    <tableColumn id="9" xr3:uid="{B06C7791-575F-5644-B18C-1680E656979D}" name="Notes" dataDxfId="2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C0FAC7-D485-406A-ACA6-81B13552A952}" name="Table25" displayName="Table25" ref="A1:E58" totalsRowShown="0" headerRowDxfId="24" dataDxfId="23">
  <autoFilter ref="A1:E58" xr:uid="{C5B63D1E-BE99-094F-A06F-B9E50E4CF733}"/>
  <tableColumns count="5">
    <tableColumn id="1" xr3:uid="{1641B603-395D-4D46-ABD8-C623D070B143}" name="Parent Story" dataDxfId="22"/>
    <tableColumn id="2" xr3:uid="{F3DA0E6A-59FC-4C2F-8D60-D473D6CD2D88}" name="Technical Task" dataDxfId="21"/>
    <tableColumn id="3" xr3:uid="{B579EE1F-677C-4DE9-B581-0DAD93FE00D2}" name="Owner" dataDxfId="20"/>
    <tableColumn id="4" xr3:uid="{4CD626E5-6501-441B-B725-3A137151C748}" name="Status" dataDxfId="19"/>
    <tableColumn id="5" xr3:uid="{E54F9008-4074-4BC3-8502-AA21E6DA9269}" name="Estimated Hours" dataDxfId="18"/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B63D1E-BE99-094F-A06F-B9E50E4CF733}" name="Table2" displayName="Table2" ref="A1:E21" totalsRowShown="0" headerRowDxfId="17" dataDxfId="16">
  <autoFilter ref="A1:E21" xr:uid="{C5B63D1E-BE99-094F-A06F-B9E50E4CF733}"/>
  <tableColumns count="5">
    <tableColumn id="1" xr3:uid="{51304AE0-A524-234B-80F2-28DCCA8979C3}" name="Parent Story" dataDxfId="15"/>
    <tableColumn id="2" xr3:uid="{20BBB90D-2ABB-2C40-BEB6-C7C2494C51E2}" name="Technical Task" dataDxfId="14"/>
    <tableColumn id="3" xr3:uid="{272577D9-3A7D-E84B-A741-7CD7118B58EE}" name="Owner" dataDxfId="13"/>
    <tableColumn id="4" xr3:uid="{FE9A366A-7B58-B14D-B88B-6DD842C2B728}" name="Status" dataDxfId="12"/>
    <tableColumn id="5" xr3:uid="{D9CEB97D-BB6C-6243-B1CC-15F8978608DC}" name="Estimated Hours" dataDxfId="11"/>
  </tableColumns>
  <tableStyleInfo name="TableStyleMedium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8F530-937D-476F-996C-825210186173}" name="Table32" displayName="Table32" ref="A1:I17" totalsRowShown="0" headerRowDxfId="10" dataDxfId="9">
  <autoFilter ref="A1:I17" xr:uid="{8C4EB69C-D735-C749-92D9-16915BA7AB24}"/>
  <tableColumns count="9">
    <tableColumn id="1" xr3:uid="{333EC573-61A2-4BC7-B4C7-18D2A5286E23}" name="ID" dataDxfId="8"/>
    <tableColumn id="2" xr3:uid="{E70141D6-37B0-40F3-8743-1520090816A6}" name="Type" dataDxfId="7"/>
    <tableColumn id="3" xr3:uid="{94B6AEE5-470B-4164-970A-EBF582B3F4DA}" name="User Story" dataDxfId="6"/>
    <tableColumn id="4" xr3:uid="{72BBE2C1-0A7F-4FB2-9EDD-71D9EE078532}" name="Acceptance Criteria" dataDxfId="5"/>
    <tableColumn id="5" xr3:uid="{D34DFF09-D0D7-4629-BC22-CDE8E47EF7CB}" name="Priority (MoSCoW)" dataDxfId="4"/>
    <tableColumn id="6" xr3:uid="{302009B7-C250-4EFD-B2CE-A7CA39B8D4BF}" name="Story Points" dataDxfId="3"/>
    <tableColumn id="7" xr3:uid="{675A767E-7252-4413-9FD0-93B2532EE087}" name="Owner(s)" dataDxfId="2"/>
    <tableColumn id="8" xr3:uid="{B95F7F39-AA9F-461F-BA7F-525F1D85CEE4}" name="Status" dataDxfId="1"/>
    <tableColumn id="9" xr3:uid="{3D403407-1DD4-4684-ABA1-788665F94E5A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zoomScale="91" workbookViewId="0">
      <selection activeCell="F19" sqref="F19"/>
    </sheetView>
  </sheetViews>
  <sheetFormatPr defaultColWidth="8.85546875" defaultRowHeight="15"/>
  <cols>
    <col min="1" max="1" width="15.28515625" customWidth="1"/>
    <col min="2" max="2" width="12.28515625" customWidth="1"/>
    <col min="3" max="3" width="30" style="2" customWidth="1"/>
    <col min="4" max="4" width="27.42578125" style="2" customWidth="1"/>
    <col min="5" max="5" width="19.28515625" customWidth="1"/>
    <col min="6" max="7" width="13.42578125" customWidth="1"/>
    <col min="8" max="8" width="15.28515625" customWidth="1"/>
    <col min="9" max="9" width="13" customWidth="1"/>
    <col min="10" max="10" width="26.7109375" customWidth="1"/>
  </cols>
  <sheetData>
    <row r="1" spans="1:10" s="20" customFormat="1" ht="35.1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0" ht="84.95" customHeight="1">
      <c r="A2" s="34" t="s">
        <v>10</v>
      </c>
      <c r="B2" s="34" t="s">
        <v>11</v>
      </c>
      <c r="C2" s="34" t="s">
        <v>12</v>
      </c>
      <c r="D2" s="34" t="s">
        <v>13</v>
      </c>
      <c r="E2" s="28" t="s">
        <v>14</v>
      </c>
      <c r="F2" s="28">
        <v>3</v>
      </c>
      <c r="G2" s="28" t="s">
        <v>15</v>
      </c>
      <c r="H2" s="28" t="s">
        <v>16</v>
      </c>
      <c r="I2" s="28" t="s">
        <v>17</v>
      </c>
      <c r="J2" s="34" t="s">
        <v>18</v>
      </c>
    </row>
    <row r="3" spans="1:10" ht="84.95" customHeight="1">
      <c r="A3" s="34" t="s">
        <v>19</v>
      </c>
      <c r="B3" s="34" t="s">
        <v>11</v>
      </c>
      <c r="C3" s="34" t="s">
        <v>20</v>
      </c>
      <c r="D3" s="34" t="s">
        <v>21</v>
      </c>
      <c r="E3" s="28" t="s">
        <v>14</v>
      </c>
      <c r="F3" s="28">
        <v>5</v>
      </c>
      <c r="G3" s="28" t="s">
        <v>22</v>
      </c>
      <c r="H3" s="28" t="s">
        <v>15</v>
      </c>
      <c r="I3" s="28" t="s">
        <v>17</v>
      </c>
      <c r="J3" s="34" t="s">
        <v>23</v>
      </c>
    </row>
    <row r="4" spans="1:10" ht="84.95" customHeight="1">
      <c r="A4" s="34" t="s">
        <v>24</v>
      </c>
      <c r="B4" s="34" t="s">
        <v>11</v>
      </c>
      <c r="C4" s="34" t="s">
        <v>25</v>
      </c>
      <c r="D4" s="34" t="s">
        <v>26</v>
      </c>
      <c r="E4" s="28" t="s">
        <v>14</v>
      </c>
      <c r="F4" s="28">
        <v>8</v>
      </c>
      <c r="G4" s="28" t="s">
        <v>27</v>
      </c>
      <c r="H4" s="28" t="s">
        <v>28</v>
      </c>
      <c r="I4" s="28" t="s">
        <v>17</v>
      </c>
      <c r="J4" s="34" t="s">
        <v>29</v>
      </c>
    </row>
    <row r="5" spans="1:10" ht="84.95" customHeight="1">
      <c r="A5" s="34" t="s">
        <v>30</v>
      </c>
      <c r="B5" s="34" t="s">
        <v>11</v>
      </c>
      <c r="C5" s="34" t="s">
        <v>31</v>
      </c>
      <c r="D5" s="34" t="s">
        <v>32</v>
      </c>
      <c r="E5" s="28" t="s">
        <v>33</v>
      </c>
      <c r="F5" s="28">
        <v>2</v>
      </c>
      <c r="G5" s="28" t="s">
        <v>27</v>
      </c>
      <c r="H5" s="28" t="s">
        <v>28</v>
      </c>
      <c r="I5" s="28" t="s">
        <v>17</v>
      </c>
      <c r="J5" s="34" t="s">
        <v>34</v>
      </c>
    </row>
    <row r="6" spans="1:10" ht="84.95" customHeight="1">
      <c r="A6" s="34" t="s">
        <v>35</v>
      </c>
      <c r="B6" s="34" t="s">
        <v>11</v>
      </c>
      <c r="C6" s="34" t="s">
        <v>36</v>
      </c>
      <c r="D6" s="34" t="s">
        <v>37</v>
      </c>
      <c r="E6" s="28" t="s">
        <v>38</v>
      </c>
      <c r="F6" s="28">
        <v>3</v>
      </c>
      <c r="G6" s="28" t="s">
        <v>16</v>
      </c>
      <c r="H6" s="28" t="s">
        <v>27</v>
      </c>
      <c r="I6" s="28" t="s">
        <v>17</v>
      </c>
      <c r="J6" s="34" t="s">
        <v>39</v>
      </c>
    </row>
    <row r="7" spans="1:10" ht="84.95" customHeight="1">
      <c r="A7" s="34" t="s">
        <v>40</v>
      </c>
      <c r="B7" s="34" t="s">
        <v>11</v>
      </c>
      <c r="C7" s="34" t="s">
        <v>41</v>
      </c>
      <c r="D7" s="34" t="s">
        <v>42</v>
      </c>
      <c r="E7" s="28" t="s">
        <v>33</v>
      </c>
      <c r="F7" s="28">
        <v>5</v>
      </c>
      <c r="G7" s="28" t="s">
        <v>28</v>
      </c>
      <c r="H7" s="28" t="s">
        <v>15</v>
      </c>
      <c r="I7" s="28" t="s">
        <v>17</v>
      </c>
      <c r="J7" s="34" t="s">
        <v>43</v>
      </c>
    </row>
    <row r="8" spans="1:10" ht="84.95" customHeight="1">
      <c r="A8" s="34" t="s">
        <v>44</v>
      </c>
      <c r="B8" s="34" t="s">
        <v>11</v>
      </c>
      <c r="C8" s="34" t="s">
        <v>45</v>
      </c>
      <c r="D8" s="34" t="s">
        <v>46</v>
      </c>
      <c r="E8" s="28" t="s">
        <v>14</v>
      </c>
      <c r="F8" s="28">
        <v>2</v>
      </c>
      <c r="G8" s="28" t="s">
        <v>16</v>
      </c>
      <c r="H8" s="28" t="s">
        <v>15</v>
      </c>
      <c r="I8" s="28" t="s">
        <v>17</v>
      </c>
      <c r="J8" s="34"/>
    </row>
    <row r="9" spans="1:10" ht="84.95" customHeight="1">
      <c r="A9" s="34" t="s">
        <v>47</v>
      </c>
      <c r="B9" s="34" t="s">
        <v>11</v>
      </c>
      <c r="C9" s="34" t="s">
        <v>48</v>
      </c>
      <c r="D9" s="34" t="s">
        <v>49</v>
      </c>
      <c r="E9" s="28" t="s">
        <v>14</v>
      </c>
      <c r="F9" s="28">
        <v>2</v>
      </c>
      <c r="G9" s="28" t="s">
        <v>22</v>
      </c>
      <c r="H9" s="28" t="s">
        <v>27</v>
      </c>
      <c r="I9" s="28" t="s">
        <v>17</v>
      </c>
      <c r="J9" s="34"/>
    </row>
    <row r="10" spans="1:10" ht="84.95" customHeight="1">
      <c r="A10" s="34" t="s">
        <v>50</v>
      </c>
      <c r="B10" s="34" t="s">
        <v>11</v>
      </c>
      <c r="C10" s="34" t="s">
        <v>51</v>
      </c>
      <c r="D10" s="34" t="s">
        <v>52</v>
      </c>
      <c r="E10" s="28" t="s">
        <v>38</v>
      </c>
      <c r="F10" s="28">
        <v>2</v>
      </c>
      <c r="G10" s="28" t="s">
        <v>28</v>
      </c>
      <c r="H10" s="28" t="s">
        <v>22</v>
      </c>
      <c r="I10" s="28" t="s">
        <v>17</v>
      </c>
      <c r="J10" s="34"/>
    </row>
    <row r="11" spans="1:10" ht="84.95" customHeight="1">
      <c r="A11" s="34" t="s">
        <v>53</v>
      </c>
      <c r="B11" s="34" t="s">
        <v>11</v>
      </c>
      <c r="C11" s="34" t="s">
        <v>54</v>
      </c>
      <c r="D11" s="34" t="s">
        <v>55</v>
      </c>
      <c r="E11" s="28" t="s">
        <v>14</v>
      </c>
      <c r="F11" s="28">
        <v>1</v>
      </c>
      <c r="G11" s="28"/>
      <c r="H11" s="28"/>
      <c r="I11" s="28" t="s">
        <v>17</v>
      </c>
      <c r="J11" s="34"/>
    </row>
    <row r="12" spans="1:10" ht="84.95" customHeight="1">
      <c r="A12" s="34" t="s">
        <v>56</v>
      </c>
      <c r="B12" s="34" t="s">
        <v>11</v>
      </c>
      <c r="C12" s="34" t="s">
        <v>57</v>
      </c>
      <c r="D12" s="34" t="s">
        <v>58</v>
      </c>
      <c r="E12" s="28" t="s">
        <v>59</v>
      </c>
      <c r="F12" s="28">
        <v>5</v>
      </c>
      <c r="G12" s="28" t="s">
        <v>15</v>
      </c>
      <c r="H12" s="28" t="s">
        <v>22</v>
      </c>
      <c r="I12" s="28" t="s">
        <v>17</v>
      </c>
    </row>
    <row r="13" spans="1:10" ht="84.95" customHeight="1">
      <c r="A13" s="34" t="s">
        <v>60</v>
      </c>
      <c r="B13" s="34" t="s">
        <v>11</v>
      </c>
      <c r="C13" s="34" t="s">
        <v>61</v>
      </c>
      <c r="D13" s="34" t="s">
        <v>62</v>
      </c>
      <c r="E13" s="28" t="s">
        <v>59</v>
      </c>
      <c r="F13" s="28">
        <v>5</v>
      </c>
      <c r="G13" s="28" t="s">
        <v>15</v>
      </c>
      <c r="H13" s="28" t="s">
        <v>22</v>
      </c>
      <c r="I13" s="28" t="s">
        <v>17</v>
      </c>
    </row>
    <row r="14" spans="1:10" ht="84.95" customHeight="1">
      <c r="A14" s="34" t="s">
        <v>63</v>
      </c>
      <c r="B14" s="34" t="s">
        <v>11</v>
      </c>
      <c r="C14" s="34" t="s">
        <v>64</v>
      </c>
      <c r="D14" s="34" t="s">
        <v>65</v>
      </c>
      <c r="E14" s="28" t="s">
        <v>33</v>
      </c>
      <c r="F14" s="28">
        <v>8</v>
      </c>
      <c r="G14" s="28" t="s">
        <v>16</v>
      </c>
      <c r="H14" s="28" t="s">
        <v>22</v>
      </c>
      <c r="I14" s="28" t="s">
        <v>17</v>
      </c>
    </row>
    <row r="15" spans="1:10" ht="84.95" customHeight="1">
      <c r="A15" s="34" t="s">
        <v>66</v>
      </c>
      <c r="B15" s="34" t="s">
        <v>67</v>
      </c>
      <c r="C15" s="34" t="s">
        <v>68</v>
      </c>
      <c r="D15" s="34" t="s">
        <v>69</v>
      </c>
      <c r="E15" s="28"/>
      <c r="F15" s="28"/>
      <c r="G15" s="28"/>
      <c r="H15" s="28"/>
      <c r="I15" s="28"/>
      <c r="J15" s="34"/>
    </row>
    <row r="16" spans="1:10" ht="84.95" customHeight="1">
      <c r="A16" s="34" t="s">
        <v>70</v>
      </c>
      <c r="B16" s="34" t="s">
        <v>67</v>
      </c>
      <c r="C16" s="34" t="s">
        <v>71</v>
      </c>
      <c r="D16" s="34" t="s">
        <v>72</v>
      </c>
      <c r="E16" s="28"/>
      <c r="F16" s="28"/>
      <c r="G16" s="28"/>
      <c r="H16" s="28"/>
      <c r="I16" s="28"/>
      <c r="J16" s="34" t="s">
        <v>73</v>
      </c>
    </row>
    <row r="17" spans="1:10" ht="84.95" customHeight="1">
      <c r="A17" s="34" t="s">
        <v>74</v>
      </c>
      <c r="B17" s="34" t="s">
        <v>67</v>
      </c>
      <c r="C17" s="34" t="s">
        <v>75</v>
      </c>
      <c r="D17" s="34" t="s">
        <v>76</v>
      </c>
      <c r="E17" s="28"/>
      <c r="F17" s="28"/>
      <c r="G17" s="28"/>
      <c r="H17" s="28"/>
      <c r="I17" s="28"/>
      <c r="J17" s="34"/>
    </row>
    <row r="18" spans="1:10" ht="48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</row>
    <row r="19" spans="1:10" ht="39.950000000000003" customHeight="1">
      <c r="A19" s="3" t="s">
        <v>77</v>
      </c>
      <c r="B19" s="6" t="s">
        <v>78</v>
      </c>
      <c r="C19" s="6"/>
      <c r="D19" s="7"/>
      <c r="E19" s="12" t="s">
        <v>79</v>
      </c>
      <c r="F19" s="18">
        <f>SUM(F2:F17)</f>
        <v>51</v>
      </c>
      <c r="G19" s="27"/>
    </row>
    <row r="20" spans="1:10" ht="35.1" customHeight="1">
      <c r="A20" s="4" t="s">
        <v>80</v>
      </c>
      <c r="B20" s="8" t="s">
        <v>81</v>
      </c>
      <c r="C20" s="8"/>
      <c r="D20" s="9"/>
    </row>
    <row r="21" spans="1:10" ht="35.1" customHeight="1">
      <c r="A21" s="4" t="s">
        <v>82</v>
      </c>
      <c r="B21" s="8" t="s">
        <v>83</v>
      </c>
      <c r="C21" s="8"/>
      <c r="D21" s="9"/>
    </row>
    <row r="22" spans="1:10" ht="35.1" customHeight="1">
      <c r="A22" s="5" t="s">
        <v>84</v>
      </c>
      <c r="B22" s="10" t="s">
        <v>85</v>
      </c>
      <c r="C22" s="10"/>
      <c r="D22" s="11"/>
    </row>
    <row r="23" spans="1:10">
      <c r="A23" s="1"/>
    </row>
  </sheetData>
  <dataValidations count="2">
    <dataValidation type="list" allowBlank="1" showInputMessage="1" showErrorMessage="1" sqref="H1:H11 H15:H1048576 G12:G14" xr:uid="{5B937713-EF9B-0B46-9F62-9FD6EF20DCF2}">
      <formula1>"Rafaela, Vanessa, Chintan, Krishna, Sai, Sanket"</formula1>
    </dataValidation>
    <dataValidation type="list" allowBlank="1" showInputMessage="1" showErrorMessage="1" sqref="E2:E17" xr:uid="{9C218DFE-F928-D547-A3FB-FE8692A98DC8}">
      <formula1>"Must, Could, Should, Will Not Have"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9878C-B6E0-4F9D-807A-EE63A954F3D4}">
  <dimension ref="A1:H58"/>
  <sheetViews>
    <sheetView tabSelected="1" workbookViewId="0">
      <selection activeCell="M8" sqref="M8"/>
    </sheetView>
  </sheetViews>
  <sheetFormatPr defaultColWidth="8.85546875" defaultRowHeight="15"/>
  <cols>
    <col min="1" max="1" width="10.42578125" customWidth="1"/>
    <col min="2" max="2" width="40.42578125" customWidth="1"/>
    <col min="3" max="4" width="10.7109375" customWidth="1"/>
    <col min="5" max="5" width="16" customWidth="1"/>
    <col min="6" max="6" width="9.140625"/>
    <col min="7" max="7" width="11.42578125" customWidth="1"/>
    <col min="8" max="8" width="19.28515625" bestFit="1" customWidth="1"/>
  </cols>
  <sheetData>
    <row r="1" spans="1:8" ht="38.1" customHeight="1">
      <c r="A1" s="13" t="s">
        <v>86</v>
      </c>
      <c r="B1" s="13" t="s">
        <v>87</v>
      </c>
      <c r="C1" s="13" t="s">
        <v>88</v>
      </c>
      <c r="D1" s="13" t="s">
        <v>8</v>
      </c>
      <c r="E1" s="13" t="s">
        <v>89</v>
      </c>
    </row>
    <row r="2" spans="1:8" ht="38.1" customHeight="1">
      <c r="A2" s="14" t="s">
        <v>10</v>
      </c>
      <c r="B2" s="15" t="s">
        <v>90</v>
      </c>
      <c r="C2" s="14" t="s">
        <v>16</v>
      </c>
      <c r="D2" s="14" t="s">
        <v>17</v>
      </c>
      <c r="E2" s="14">
        <v>3</v>
      </c>
      <c r="G2" s="16" t="s">
        <v>91</v>
      </c>
      <c r="H2" s="17">
        <f>SUM(E2:E58)</f>
        <v>78.5</v>
      </c>
    </row>
    <row r="3" spans="1:8" ht="38.1" customHeight="1">
      <c r="A3" s="14" t="s">
        <v>10</v>
      </c>
      <c r="B3" s="15" t="s">
        <v>92</v>
      </c>
      <c r="C3" s="14" t="s">
        <v>15</v>
      </c>
      <c r="D3" s="14" t="s">
        <v>17</v>
      </c>
      <c r="E3" s="14">
        <v>2</v>
      </c>
    </row>
    <row r="4" spans="1:8" ht="38.1" customHeight="1">
      <c r="A4" s="14" t="s">
        <v>10</v>
      </c>
      <c r="B4" s="15" t="s">
        <v>93</v>
      </c>
      <c r="C4" s="14" t="s">
        <v>15</v>
      </c>
      <c r="D4" s="14" t="s">
        <v>17</v>
      </c>
      <c r="E4" s="14">
        <v>2</v>
      </c>
    </row>
    <row r="5" spans="1:8" ht="38.1" customHeight="1">
      <c r="A5" s="14" t="s">
        <v>19</v>
      </c>
      <c r="B5" s="15" t="s">
        <v>94</v>
      </c>
      <c r="C5" s="14" t="s">
        <v>15</v>
      </c>
      <c r="D5" s="14" t="s">
        <v>17</v>
      </c>
      <c r="E5" s="14">
        <v>2</v>
      </c>
      <c r="G5" s="33" t="s">
        <v>88</v>
      </c>
      <c r="H5" t="s">
        <v>95</v>
      </c>
    </row>
    <row r="6" spans="1:8" ht="38.1" customHeight="1">
      <c r="A6" s="14" t="s">
        <v>19</v>
      </c>
      <c r="B6" s="15" t="s">
        <v>96</v>
      </c>
      <c r="C6" s="14" t="s">
        <v>15</v>
      </c>
      <c r="D6" s="14" t="s">
        <v>17</v>
      </c>
      <c r="E6" s="14">
        <v>1</v>
      </c>
      <c r="G6" s="29" t="s">
        <v>22</v>
      </c>
      <c r="H6" s="30">
        <v>16.5</v>
      </c>
    </row>
    <row r="7" spans="1:8" ht="38.1" customHeight="1">
      <c r="A7" s="14" t="s">
        <v>19</v>
      </c>
      <c r="B7" s="15" t="s">
        <v>97</v>
      </c>
      <c r="C7" s="14" t="s">
        <v>22</v>
      </c>
      <c r="D7" s="14" t="s">
        <v>17</v>
      </c>
      <c r="E7" s="14">
        <v>1</v>
      </c>
      <c r="G7" s="29" t="s">
        <v>28</v>
      </c>
      <c r="H7" s="30">
        <v>23</v>
      </c>
    </row>
    <row r="8" spans="1:8" ht="38.1" customHeight="1">
      <c r="A8" s="14" t="s">
        <v>24</v>
      </c>
      <c r="B8" s="15" t="s">
        <v>98</v>
      </c>
      <c r="C8" s="14" t="s">
        <v>28</v>
      </c>
      <c r="D8" s="14" t="s">
        <v>17</v>
      </c>
      <c r="E8" s="14">
        <v>3</v>
      </c>
      <c r="G8" s="29" t="s">
        <v>15</v>
      </c>
      <c r="H8" s="30">
        <v>17.5</v>
      </c>
    </row>
    <row r="9" spans="1:8" ht="38.1" customHeight="1">
      <c r="A9" s="14" t="s">
        <v>24</v>
      </c>
      <c r="B9" s="15" t="s">
        <v>99</v>
      </c>
      <c r="C9" s="14" t="s">
        <v>27</v>
      </c>
      <c r="D9" s="14" t="s">
        <v>17</v>
      </c>
      <c r="E9" s="14">
        <v>1</v>
      </c>
      <c r="G9" s="29" t="s">
        <v>27</v>
      </c>
      <c r="H9" s="30">
        <v>11.5</v>
      </c>
    </row>
    <row r="10" spans="1:8" ht="38.1" customHeight="1">
      <c r="A10" s="14" t="s">
        <v>24</v>
      </c>
      <c r="B10" s="15" t="s">
        <v>100</v>
      </c>
      <c r="C10" s="14" t="s">
        <v>27</v>
      </c>
      <c r="D10" s="14" t="s">
        <v>17</v>
      </c>
      <c r="E10" s="14">
        <v>2.5</v>
      </c>
      <c r="G10" s="29" t="s">
        <v>16</v>
      </c>
      <c r="H10" s="30">
        <v>10</v>
      </c>
    </row>
    <row r="11" spans="1:8" ht="38.1" customHeight="1">
      <c r="A11" s="14" t="s">
        <v>24</v>
      </c>
      <c r="B11" s="15" t="s">
        <v>101</v>
      </c>
      <c r="C11" s="14" t="s">
        <v>28</v>
      </c>
      <c r="D11" s="14" t="s">
        <v>17</v>
      </c>
      <c r="E11" s="14">
        <v>5</v>
      </c>
      <c r="G11" s="29" t="s">
        <v>102</v>
      </c>
      <c r="H11" s="30"/>
    </row>
    <row r="12" spans="1:8" ht="38.1" customHeight="1">
      <c r="A12" s="14" t="s">
        <v>24</v>
      </c>
      <c r="B12" s="15" t="s">
        <v>103</v>
      </c>
      <c r="C12" s="14" t="s">
        <v>28</v>
      </c>
      <c r="D12" s="14" t="s">
        <v>17</v>
      </c>
      <c r="E12" s="14">
        <v>3</v>
      </c>
      <c r="G12" s="32" t="s">
        <v>104</v>
      </c>
      <c r="H12" s="31">
        <v>78.5</v>
      </c>
    </row>
    <row r="13" spans="1:8" ht="38.1" customHeight="1">
      <c r="A13" s="14" t="s">
        <v>24</v>
      </c>
      <c r="B13" s="15" t="s">
        <v>105</v>
      </c>
      <c r="C13" s="14" t="s">
        <v>27</v>
      </c>
      <c r="D13" s="14" t="s">
        <v>17</v>
      </c>
      <c r="E13" s="14">
        <v>3</v>
      </c>
    </row>
    <row r="14" spans="1:8" ht="38.1" customHeight="1">
      <c r="A14" s="14" t="s">
        <v>24</v>
      </c>
      <c r="B14" s="15" t="s">
        <v>106</v>
      </c>
      <c r="C14" s="14" t="s">
        <v>27</v>
      </c>
      <c r="D14" s="14" t="s">
        <v>17</v>
      </c>
      <c r="E14" s="14">
        <v>4</v>
      </c>
    </row>
    <row r="15" spans="1:8" ht="38.1" customHeight="1">
      <c r="A15" s="14" t="s">
        <v>24</v>
      </c>
      <c r="B15" s="15" t="s">
        <v>107</v>
      </c>
      <c r="C15" s="14" t="s">
        <v>28</v>
      </c>
      <c r="D15" s="14" t="s">
        <v>17</v>
      </c>
      <c r="E15" s="14">
        <v>2</v>
      </c>
    </row>
    <row r="16" spans="1:8" ht="38.1" customHeight="1">
      <c r="A16" s="14" t="s">
        <v>24</v>
      </c>
      <c r="B16" s="15" t="s">
        <v>108</v>
      </c>
      <c r="C16" s="14" t="s">
        <v>28</v>
      </c>
      <c r="D16" s="14" t="s">
        <v>17</v>
      </c>
      <c r="E16" s="14">
        <v>4</v>
      </c>
    </row>
    <row r="17" spans="1:5" ht="38.1" customHeight="1">
      <c r="A17" s="14" t="s">
        <v>30</v>
      </c>
      <c r="B17" s="15" t="s">
        <v>109</v>
      </c>
      <c r="C17" s="14" t="s">
        <v>28</v>
      </c>
      <c r="D17" s="14" t="s">
        <v>17</v>
      </c>
      <c r="E17" s="14">
        <v>1</v>
      </c>
    </row>
    <row r="18" spans="1:5" ht="38.1" customHeight="1">
      <c r="A18" s="14" t="s">
        <v>35</v>
      </c>
      <c r="B18" s="15" t="s">
        <v>110</v>
      </c>
      <c r="C18" s="14" t="s">
        <v>16</v>
      </c>
      <c r="D18" s="14" t="s">
        <v>17</v>
      </c>
      <c r="E18" s="14">
        <v>1</v>
      </c>
    </row>
    <row r="19" spans="1:5" ht="38.1" customHeight="1">
      <c r="A19" s="14" t="s">
        <v>35</v>
      </c>
      <c r="B19" s="15" t="s">
        <v>111</v>
      </c>
      <c r="C19" s="14" t="s">
        <v>16</v>
      </c>
      <c r="D19" s="14" t="s">
        <v>17</v>
      </c>
      <c r="E19" s="14">
        <v>1</v>
      </c>
    </row>
    <row r="20" spans="1:5" ht="38.1" customHeight="1">
      <c r="A20" s="14" t="s">
        <v>35</v>
      </c>
      <c r="B20" s="15" t="s">
        <v>112</v>
      </c>
      <c r="C20" s="14" t="s">
        <v>27</v>
      </c>
      <c r="D20" s="14" t="s">
        <v>17</v>
      </c>
      <c r="E20" s="14">
        <v>1</v>
      </c>
    </row>
    <row r="21" spans="1:5" ht="38.1" customHeight="1">
      <c r="A21" s="14" t="s">
        <v>35</v>
      </c>
      <c r="B21" s="15" t="s">
        <v>113</v>
      </c>
      <c r="C21" s="14" t="s">
        <v>22</v>
      </c>
      <c r="D21" s="14" t="s">
        <v>17</v>
      </c>
      <c r="E21" s="14">
        <v>1</v>
      </c>
    </row>
    <row r="22" spans="1:5" ht="38.1" customHeight="1">
      <c r="A22" s="14" t="s">
        <v>40</v>
      </c>
      <c r="B22" s="15" t="s">
        <v>114</v>
      </c>
      <c r="C22" s="14" t="s">
        <v>15</v>
      </c>
      <c r="D22" s="14" t="s">
        <v>17</v>
      </c>
      <c r="E22" s="14">
        <v>3</v>
      </c>
    </row>
    <row r="23" spans="1:5" ht="38.1" customHeight="1">
      <c r="A23" s="14" t="s">
        <v>40</v>
      </c>
      <c r="B23" s="15" t="s">
        <v>115</v>
      </c>
      <c r="C23" s="14" t="s">
        <v>28</v>
      </c>
      <c r="D23" s="14" t="s">
        <v>17</v>
      </c>
      <c r="E23" s="14">
        <v>3</v>
      </c>
    </row>
    <row r="24" spans="1:5" ht="38.1" customHeight="1">
      <c r="A24" s="14" t="s">
        <v>40</v>
      </c>
      <c r="B24" s="15" t="s">
        <v>116</v>
      </c>
      <c r="C24" s="14" t="s">
        <v>15</v>
      </c>
      <c r="D24" s="14" t="s">
        <v>17</v>
      </c>
      <c r="E24" s="14">
        <v>2</v>
      </c>
    </row>
    <row r="25" spans="1:5" ht="38.1" customHeight="1">
      <c r="A25" s="14" t="s">
        <v>40</v>
      </c>
      <c r="B25" s="15" t="s">
        <v>117</v>
      </c>
      <c r="C25" s="14" t="s">
        <v>15</v>
      </c>
      <c r="D25" s="14" t="s">
        <v>17</v>
      </c>
      <c r="E25" s="14">
        <v>2</v>
      </c>
    </row>
    <row r="26" spans="1:5" ht="38.1" customHeight="1">
      <c r="A26" s="14" t="s">
        <v>40</v>
      </c>
      <c r="B26" s="15" t="s">
        <v>118</v>
      </c>
      <c r="C26" s="14" t="s">
        <v>22</v>
      </c>
      <c r="D26" s="14" t="s">
        <v>17</v>
      </c>
      <c r="E26" s="14">
        <v>1</v>
      </c>
    </row>
    <row r="27" spans="1:5" ht="38.1" customHeight="1">
      <c r="A27" s="14" t="s">
        <v>44</v>
      </c>
      <c r="B27" s="15" t="s">
        <v>119</v>
      </c>
      <c r="C27" s="14" t="s">
        <v>16</v>
      </c>
      <c r="D27" s="14" t="s">
        <v>17</v>
      </c>
      <c r="E27" s="14">
        <v>2</v>
      </c>
    </row>
    <row r="28" spans="1:5" ht="38.1" customHeight="1">
      <c r="A28" s="14" t="s">
        <v>44</v>
      </c>
      <c r="B28" s="15" t="s">
        <v>120</v>
      </c>
      <c r="C28" s="14" t="s">
        <v>15</v>
      </c>
      <c r="D28" s="14" t="s">
        <v>17</v>
      </c>
      <c r="E28" s="14">
        <v>2</v>
      </c>
    </row>
    <row r="29" spans="1:5" ht="38.1" customHeight="1">
      <c r="A29" s="14" t="s">
        <v>44</v>
      </c>
      <c r="B29" s="15" t="s">
        <v>121</v>
      </c>
      <c r="C29" s="14" t="s">
        <v>16</v>
      </c>
      <c r="D29" s="14" t="s">
        <v>17</v>
      </c>
      <c r="E29" s="14">
        <v>1</v>
      </c>
    </row>
    <row r="30" spans="1:5" ht="38.1" customHeight="1">
      <c r="A30" s="14" t="s">
        <v>44</v>
      </c>
      <c r="B30" s="15" t="s">
        <v>122</v>
      </c>
      <c r="C30" s="14" t="s">
        <v>15</v>
      </c>
      <c r="D30" s="14" t="s">
        <v>17</v>
      </c>
      <c r="E30" s="14">
        <v>1</v>
      </c>
    </row>
    <row r="31" spans="1:5" ht="38.1" customHeight="1">
      <c r="A31" s="14" t="s">
        <v>47</v>
      </c>
      <c r="B31" s="15" t="s">
        <v>123</v>
      </c>
      <c r="C31" s="14" t="s">
        <v>22</v>
      </c>
      <c r="D31" s="14" t="s">
        <v>17</v>
      </c>
      <c r="E31" s="14">
        <v>1</v>
      </c>
    </row>
    <row r="32" spans="1:5" ht="38.1" customHeight="1">
      <c r="A32" s="14" t="s">
        <v>50</v>
      </c>
      <c r="B32" s="15" t="s">
        <v>124</v>
      </c>
      <c r="C32" s="14" t="s">
        <v>22</v>
      </c>
      <c r="D32" s="14" t="s">
        <v>17</v>
      </c>
      <c r="E32" s="14">
        <v>2</v>
      </c>
    </row>
    <row r="33" spans="1:5" ht="38.1" customHeight="1">
      <c r="A33" s="14" t="s">
        <v>50</v>
      </c>
      <c r="B33" s="15" t="s">
        <v>125</v>
      </c>
      <c r="C33" s="14" t="s">
        <v>28</v>
      </c>
      <c r="D33" s="14" t="s">
        <v>17</v>
      </c>
      <c r="E33" s="14">
        <v>2</v>
      </c>
    </row>
    <row r="34" spans="1:5" ht="38.1" customHeight="1">
      <c r="A34" s="14" t="s">
        <v>50</v>
      </c>
      <c r="B34" s="15" t="s">
        <v>126</v>
      </c>
      <c r="C34" s="14" t="s">
        <v>22</v>
      </c>
      <c r="D34" s="14" t="s">
        <v>17</v>
      </c>
      <c r="E34" s="14">
        <v>1</v>
      </c>
    </row>
    <row r="35" spans="1:5" ht="38.1" customHeight="1">
      <c r="A35" s="14" t="s">
        <v>50</v>
      </c>
      <c r="B35" s="15" t="s">
        <v>127</v>
      </c>
      <c r="C35" s="14" t="s">
        <v>22</v>
      </c>
      <c r="D35" s="14" t="s">
        <v>17</v>
      </c>
      <c r="E35" s="14">
        <v>1.5</v>
      </c>
    </row>
    <row r="36" spans="1:5" ht="38.1" customHeight="1">
      <c r="A36" s="14" t="s">
        <v>53</v>
      </c>
      <c r="B36" s="15" t="s">
        <v>128</v>
      </c>
      <c r="C36" s="14" t="s">
        <v>15</v>
      </c>
      <c r="D36" s="14" t="s">
        <v>17</v>
      </c>
      <c r="E36" s="14">
        <v>0.5</v>
      </c>
    </row>
    <row r="37" spans="1:5" ht="38.1" customHeight="1">
      <c r="A37" s="14" t="s">
        <v>56</v>
      </c>
      <c r="B37" s="15" t="s">
        <v>129</v>
      </c>
      <c r="C37" s="14"/>
      <c r="D37" s="14"/>
      <c r="E37" s="14"/>
    </row>
    <row r="38" spans="1:5" ht="38.1" customHeight="1">
      <c r="A38" s="14" t="s">
        <v>56</v>
      </c>
      <c r="B38" s="15" t="s">
        <v>130</v>
      </c>
      <c r="C38" s="14"/>
      <c r="D38" s="14"/>
      <c r="E38" s="14"/>
    </row>
    <row r="39" spans="1:5" ht="38.1" customHeight="1">
      <c r="A39" s="14" t="s">
        <v>56</v>
      </c>
      <c r="B39" s="15" t="s">
        <v>131</v>
      </c>
      <c r="C39" s="14"/>
      <c r="D39" s="14"/>
      <c r="E39" s="14"/>
    </row>
    <row r="40" spans="1:5" ht="38.1" customHeight="1">
      <c r="A40" s="14" t="s">
        <v>56</v>
      </c>
      <c r="B40" s="15" t="s">
        <v>132</v>
      </c>
      <c r="C40" s="14"/>
      <c r="D40" s="14"/>
      <c r="E40" s="14"/>
    </row>
    <row r="41" spans="1:5" ht="38.1" customHeight="1">
      <c r="A41" s="14" t="s">
        <v>56</v>
      </c>
      <c r="B41" s="15" t="s">
        <v>133</v>
      </c>
      <c r="C41" s="14"/>
      <c r="D41" s="14"/>
      <c r="E41" s="14"/>
    </row>
    <row r="42" spans="1:5" ht="38.1" customHeight="1">
      <c r="A42" s="14" t="s">
        <v>56</v>
      </c>
      <c r="B42" s="15" t="s">
        <v>134</v>
      </c>
      <c r="C42" s="14"/>
      <c r="D42" s="14"/>
      <c r="E42" s="14"/>
    </row>
    <row r="43" spans="1:5" ht="38.1" customHeight="1">
      <c r="A43" s="14" t="s">
        <v>56</v>
      </c>
      <c r="B43" s="15" t="s">
        <v>96</v>
      </c>
      <c r="C43" s="14"/>
      <c r="D43" s="14"/>
      <c r="E43" s="14"/>
    </row>
    <row r="44" spans="1:5" ht="38.1" customHeight="1">
      <c r="A44" s="14" t="s">
        <v>56</v>
      </c>
      <c r="B44" s="15" t="s">
        <v>135</v>
      </c>
      <c r="C44" s="14"/>
      <c r="D44" s="14"/>
      <c r="E44" s="14"/>
    </row>
    <row r="45" spans="1:5" ht="38.1" customHeight="1">
      <c r="A45" s="14" t="s">
        <v>60</v>
      </c>
      <c r="B45" s="15" t="s">
        <v>136</v>
      </c>
      <c r="C45" s="14"/>
      <c r="D45" s="14"/>
      <c r="E45" s="14"/>
    </row>
    <row r="46" spans="1:5" ht="38.1" customHeight="1">
      <c r="A46" s="14" t="s">
        <v>60</v>
      </c>
      <c r="B46" s="15" t="s">
        <v>137</v>
      </c>
      <c r="C46" s="14"/>
      <c r="D46" s="14"/>
      <c r="E46" s="14"/>
    </row>
    <row r="47" spans="1:5" ht="38.1" customHeight="1">
      <c r="A47" s="14" t="s">
        <v>60</v>
      </c>
      <c r="B47" s="15" t="s">
        <v>138</v>
      </c>
      <c r="C47" s="14"/>
      <c r="D47" s="14"/>
      <c r="E47" s="14"/>
    </row>
    <row r="48" spans="1:5" ht="38.1" customHeight="1">
      <c r="A48" s="14" t="s">
        <v>60</v>
      </c>
      <c r="B48" s="15" t="s">
        <v>139</v>
      </c>
      <c r="C48" s="14"/>
      <c r="D48" s="14"/>
      <c r="E48" s="14"/>
    </row>
    <row r="49" spans="1:5" ht="38.1" customHeight="1">
      <c r="A49" s="14" t="s">
        <v>60</v>
      </c>
      <c r="B49" s="15" t="s">
        <v>140</v>
      </c>
      <c r="C49" s="14"/>
      <c r="D49" s="14"/>
      <c r="E49" s="14"/>
    </row>
    <row r="50" spans="1:5" ht="38.1" customHeight="1">
      <c r="A50" s="14" t="s">
        <v>60</v>
      </c>
      <c r="B50" s="15" t="s">
        <v>141</v>
      </c>
      <c r="C50" s="14"/>
      <c r="D50" s="14"/>
      <c r="E50" s="14"/>
    </row>
    <row r="51" spans="1:5" ht="38.1" customHeight="1">
      <c r="A51" s="14" t="s">
        <v>63</v>
      </c>
      <c r="B51" s="15" t="s">
        <v>142</v>
      </c>
      <c r="C51" s="14" t="s">
        <v>22</v>
      </c>
      <c r="D51" s="14" t="s">
        <v>17</v>
      </c>
      <c r="E51" s="14">
        <v>3</v>
      </c>
    </row>
    <row r="52" spans="1:5" ht="38.1" customHeight="1">
      <c r="A52" s="14" t="s">
        <v>63</v>
      </c>
      <c r="B52" s="15" t="s">
        <v>143</v>
      </c>
      <c r="C52" s="14"/>
      <c r="D52" s="14"/>
      <c r="E52" s="14"/>
    </row>
    <row r="53" spans="1:5" ht="38.1" customHeight="1">
      <c r="A53" s="14" t="s">
        <v>63</v>
      </c>
      <c r="B53" s="15" t="s">
        <v>144</v>
      </c>
      <c r="C53" s="14" t="s">
        <v>22</v>
      </c>
      <c r="D53" s="14" t="s">
        <v>17</v>
      </c>
      <c r="E53" s="14">
        <v>2</v>
      </c>
    </row>
    <row r="54" spans="1:5" ht="38.1" customHeight="1">
      <c r="A54" s="14" t="s">
        <v>63</v>
      </c>
      <c r="B54" s="15" t="s">
        <v>145</v>
      </c>
      <c r="C54" s="14" t="s">
        <v>16</v>
      </c>
      <c r="D54" s="14" t="s">
        <v>17</v>
      </c>
      <c r="E54" s="14">
        <v>2</v>
      </c>
    </row>
    <row r="55" spans="1:5" ht="38.1" customHeight="1">
      <c r="A55" s="14" t="s">
        <v>63</v>
      </c>
      <c r="B55" s="15" t="s">
        <v>146</v>
      </c>
      <c r="C55" s="14" t="s">
        <v>22</v>
      </c>
      <c r="D55" s="14" t="s">
        <v>17</v>
      </c>
      <c r="E55" s="14">
        <v>2</v>
      </c>
    </row>
    <row r="56" spans="1:5" ht="38.1" customHeight="1">
      <c r="A56" s="14" t="s">
        <v>63</v>
      </c>
      <c r="B56" s="15" t="s">
        <v>147</v>
      </c>
      <c r="C56" s="14" t="s">
        <v>22</v>
      </c>
      <c r="D56" s="14" t="s">
        <v>17</v>
      </c>
      <c r="E56" s="14">
        <v>1</v>
      </c>
    </row>
    <row r="57" spans="1:5" ht="38.1" customHeight="1">
      <c r="A57" s="14" t="s">
        <v>66</v>
      </c>
      <c r="B57" s="15" t="s">
        <v>68</v>
      </c>
      <c r="C57" s="14"/>
      <c r="D57" s="14"/>
      <c r="E57" s="14"/>
    </row>
    <row r="58" spans="1:5" ht="38.1" customHeight="1">
      <c r="A58" s="14" t="s">
        <v>70</v>
      </c>
      <c r="B58" s="15" t="s">
        <v>148</v>
      </c>
      <c r="C58" s="14"/>
      <c r="D58" s="14"/>
      <c r="E58" s="14"/>
    </row>
  </sheetData>
  <dataValidations count="1">
    <dataValidation type="list" allowBlank="1" showInputMessage="1" showErrorMessage="1" sqref="C1:C1048576" xr:uid="{5A55F111-FFCE-4FAA-A66B-175ECF69025E}">
      <formula1>"Chintan, Rafaela, Sai, Sanket, Krishna, Vanessa"</formula1>
    </dataValidation>
  </dataValidations>
  <pageMargins left="0.75" right="0.75" top="1" bottom="1" header="0.5" footer="0.5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A19" sqref="A19:XFD19"/>
    </sheetView>
  </sheetViews>
  <sheetFormatPr defaultColWidth="8.85546875" defaultRowHeight="15"/>
  <cols>
    <col min="1" max="1" width="10.42578125" customWidth="1"/>
    <col min="2" max="2" width="40.42578125" customWidth="1"/>
    <col min="3" max="4" width="10.7109375" customWidth="1"/>
    <col min="5" max="5" width="16" customWidth="1"/>
    <col min="7" max="7" width="14.28515625" customWidth="1"/>
    <col min="8" max="8" width="13.140625" customWidth="1"/>
  </cols>
  <sheetData>
    <row r="1" spans="1:8" ht="38.1" customHeight="1">
      <c r="A1" s="13" t="s">
        <v>86</v>
      </c>
      <c r="B1" s="13" t="s">
        <v>87</v>
      </c>
      <c r="C1" s="13" t="s">
        <v>88</v>
      </c>
      <c r="D1" s="13" t="s">
        <v>8</v>
      </c>
      <c r="E1" s="13" t="s">
        <v>89</v>
      </c>
    </row>
    <row r="2" spans="1:8" ht="38.1" customHeight="1">
      <c r="A2" s="14" t="s">
        <v>10</v>
      </c>
      <c r="B2" s="15" t="s">
        <v>90</v>
      </c>
      <c r="C2" s="14"/>
      <c r="D2" s="14" t="s">
        <v>17</v>
      </c>
      <c r="E2" s="14"/>
      <c r="G2" s="16" t="s">
        <v>91</v>
      </c>
      <c r="H2" s="17">
        <f>SUM(E2:E21)</f>
        <v>0</v>
      </c>
    </row>
    <row r="3" spans="1:8" ht="38.1" customHeight="1">
      <c r="A3" s="14" t="s">
        <v>10</v>
      </c>
      <c r="B3" s="15" t="s">
        <v>92</v>
      </c>
      <c r="C3" s="14"/>
      <c r="D3" s="14"/>
      <c r="E3" s="14"/>
    </row>
    <row r="4" spans="1:8" ht="38.1" customHeight="1">
      <c r="A4" s="14" t="s">
        <v>10</v>
      </c>
      <c r="B4" s="15" t="s">
        <v>93</v>
      </c>
      <c r="C4" s="14"/>
      <c r="D4" s="14"/>
      <c r="E4" s="14"/>
    </row>
    <row r="5" spans="1:8" ht="38.1" customHeight="1">
      <c r="A5" s="14" t="s">
        <v>19</v>
      </c>
      <c r="B5" s="15" t="s">
        <v>94</v>
      </c>
      <c r="C5" s="14"/>
      <c r="D5" s="14"/>
      <c r="E5" s="14"/>
    </row>
    <row r="6" spans="1:8" ht="38.1" customHeight="1">
      <c r="A6" s="14" t="s">
        <v>19</v>
      </c>
      <c r="B6" s="15" t="s">
        <v>96</v>
      </c>
      <c r="C6" s="14"/>
      <c r="D6" s="14"/>
      <c r="E6" s="14"/>
    </row>
    <row r="7" spans="1:8" ht="38.1" customHeight="1">
      <c r="A7" s="14" t="s">
        <v>19</v>
      </c>
      <c r="B7" s="15" t="s">
        <v>97</v>
      </c>
      <c r="C7" s="14"/>
      <c r="D7" s="14"/>
      <c r="E7" s="14"/>
    </row>
    <row r="8" spans="1:8" ht="38.1" customHeight="1">
      <c r="A8" s="14" t="s">
        <v>24</v>
      </c>
      <c r="B8" s="15" t="s">
        <v>149</v>
      </c>
      <c r="C8" s="14"/>
      <c r="D8" s="14"/>
      <c r="E8" s="14"/>
    </row>
    <row r="9" spans="1:8" ht="38.1" customHeight="1">
      <c r="A9" s="14" t="s">
        <v>24</v>
      </c>
      <c r="B9" s="15" t="s">
        <v>108</v>
      </c>
      <c r="C9" s="14"/>
      <c r="D9" s="14"/>
      <c r="E9" s="14"/>
    </row>
    <row r="10" spans="1:8" ht="38.1" customHeight="1">
      <c r="A10" s="14" t="s">
        <v>24</v>
      </c>
      <c r="B10" s="15" t="s">
        <v>150</v>
      </c>
      <c r="C10" s="14"/>
      <c r="D10" s="14"/>
      <c r="E10" s="14"/>
    </row>
    <row r="11" spans="1:8" ht="38.1" customHeight="1">
      <c r="A11" s="14" t="s">
        <v>24</v>
      </c>
      <c r="B11" s="15" t="s">
        <v>107</v>
      </c>
      <c r="C11" s="14"/>
      <c r="D11" s="14"/>
      <c r="E11" s="14"/>
    </row>
    <row r="12" spans="1:8" ht="38.1" customHeight="1">
      <c r="A12" s="14" t="s">
        <v>30</v>
      </c>
      <c r="B12" s="15" t="s">
        <v>109</v>
      </c>
      <c r="C12" s="14"/>
      <c r="D12" s="14"/>
      <c r="E12" s="14"/>
    </row>
    <row r="13" spans="1:8" ht="38.1" customHeight="1">
      <c r="A13" s="14" t="s">
        <v>35</v>
      </c>
      <c r="B13" s="15" t="s">
        <v>151</v>
      </c>
      <c r="C13" s="14"/>
      <c r="D13" s="14"/>
      <c r="E13" s="14"/>
    </row>
    <row r="14" spans="1:8" ht="38.1" customHeight="1">
      <c r="A14" s="14" t="s">
        <v>35</v>
      </c>
      <c r="B14" s="15" t="s">
        <v>152</v>
      </c>
      <c r="C14" s="14"/>
      <c r="D14" s="14"/>
      <c r="E14" s="14"/>
    </row>
    <row r="15" spans="1:8" ht="38.1" customHeight="1">
      <c r="A15" s="14" t="s">
        <v>40</v>
      </c>
      <c r="B15" s="15" t="s">
        <v>153</v>
      </c>
      <c r="C15" s="14"/>
      <c r="D15" s="14"/>
      <c r="E15" s="14"/>
    </row>
    <row r="16" spans="1:8" ht="38.1" customHeight="1">
      <c r="A16" s="14" t="s">
        <v>40</v>
      </c>
      <c r="B16" s="15" t="s">
        <v>154</v>
      </c>
      <c r="C16" s="14"/>
      <c r="D16" s="14"/>
      <c r="E16" s="14"/>
    </row>
    <row r="17" spans="1:5" ht="38.1" customHeight="1">
      <c r="A17" s="14" t="s">
        <v>47</v>
      </c>
      <c r="B17" s="15" t="s">
        <v>155</v>
      </c>
      <c r="C17" s="14"/>
      <c r="D17" s="14"/>
      <c r="E17" s="14"/>
    </row>
    <row r="18" spans="1:5" ht="38.1" customHeight="1">
      <c r="A18" s="14" t="s">
        <v>50</v>
      </c>
      <c r="B18" s="15" t="s">
        <v>156</v>
      </c>
      <c r="C18" s="14"/>
      <c r="D18" s="14"/>
      <c r="E18" s="14"/>
    </row>
    <row r="19" spans="1:5" ht="38.1" customHeight="1">
      <c r="A19" s="14" t="s">
        <v>53</v>
      </c>
      <c r="B19" s="15" t="s">
        <v>157</v>
      </c>
      <c r="C19" s="14"/>
      <c r="D19" s="14"/>
      <c r="E19" s="14"/>
    </row>
    <row r="20" spans="1:5" ht="38.1" customHeight="1">
      <c r="A20" s="14" t="s">
        <v>66</v>
      </c>
      <c r="B20" s="15" t="s">
        <v>68</v>
      </c>
      <c r="C20" s="14"/>
      <c r="D20" s="14"/>
      <c r="E20" s="14"/>
    </row>
    <row r="21" spans="1:5" ht="38.1" customHeight="1">
      <c r="A21" s="14" t="s">
        <v>70</v>
      </c>
      <c r="B21" s="15" t="s">
        <v>148</v>
      </c>
      <c r="C21" s="14"/>
      <c r="D21" s="14"/>
      <c r="E21" s="14"/>
    </row>
  </sheetData>
  <dataValidations count="1">
    <dataValidation type="list" allowBlank="1" showInputMessage="1" showErrorMessage="1" sqref="C1:C1048576" xr:uid="{16A753D4-0F3E-FE40-873F-8699373A221E}">
      <formula1>"Chintan, Rafaela, Sai, Sanket, Krishna, Vanessa"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3E27-64C3-4C48-8484-B761FE48D4AC}">
  <dimension ref="A1:I23"/>
  <sheetViews>
    <sheetView topLeftCell="A9" zoomScale="97" workbookViewId="0">
      <selection activeCell="A12" sqref="A12:XFD14"/>
    </sheetView>
  </sheetViews>
  <sheetFormatPr defaultColWidth="8.85546875" defaultRowHeight="15"/>
  <cols>
    <col min="1" max="1" width="15.28515625" customWidth="1"/>
    <col min="2" max="2" width="12.28515625" customWidth="1"/>
    <col min="3" max="3" width="30" style="2" customWidth="1"/>
    <col min="4" max="4" width="27.42578125" style="2" customWidth="1"/>
    <col min="5" max="5" width="19.28515625" customWidth="1"/>
    <col min="6" max="6" width="13.42578125" customWidth="1"/>
    <col min="7" max="7" width="15.28515625" customWidth="1"/>
    <col min="8" max="8" width="13" customWidth="1"/>
    <col min="9" max="9" width="26.7109375" customWidth="1"/>
  </cols>
  <sheetData>
    <row r="1" spans="1:9" s="20" customFormat="1" ht="35.1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7</v>
      </c>
      <c r="H1" s="19" t="s">
        <v>8</v>
      </c>
      <c r="I1" s="19" t="s">
        <v>9</v>
      </c>
    </row>
    <row r="2" spans="1:9" ht="84.95" customHeight="1">
      <c r="A2" s="34" t="s">
        <v>10</v>
      </c>
      <c r="B2" s="34" t="s">
        <v>11</v>
      </c>
      <c r="C2" s="34" t="s">
        <v>12</v>
      </c>
      <c r="D2" s="34" t="s">
        <v>13</v>
      </c>
      <c r="E2" s="28"/>
      <c r="F2" s="28"/>
      <c r="G2" s="28"/>
      <c r="H2" s="28"/>
      <c r="I2" s="34" t="s">
        <v>18</v>
      </c>
    </row>
    <row r="3" spans="1:9" s="26" customFormat="1" ht="84.95" customHeight="1">
      <c r="A3" s="24" t="s">
        <v>19</v>
      </c>
      <c r="B3" s="24" t="s">
        <v>11</v>
      </c>
      <c r="C3" s="24" t="s">
        <v>158</v>
      </c>
      <c r="D3" s="24" t="s">
        <v>159</v>
      </c>
      <c r="E3" s="25"/>
      <c r="F3" s="25">
        <v>8</v>
      </c>
      <c r="G3" s="25"/>
      <c r="H3" s="25"/>
      <c r="I3" s="24" t="s">
        <v>23</v>
      </c>
    </row>
    <row r="4" spans="1:9" s="23" customFormat="1" ht="84.95" customHeight="1">
      <c r="A4" s="21" t="s">
        <v>24</v>
      </c>
      <c r="B4" s="21" t="s">
        <v>11</v>
      </c>
      <c r="C4" s="21" t="s">
        <v>25</v>
      </c>
      <c r="D4" s="21" t="s">
        <v>26</v>
      </c>
      <c r="E4" s="22"/>
      <c r="F4" s="22"/>
      <c r="G4" s="22"/>
      <c r="H4" s="22"/>
      <c r="I4" s="21" t="s">
        <v>29</v>
      </c>
    </row>
    <row r="5" spans="1:9" ht="84.95" customHeight="1">
      <c r="A5" s="34" t="s">
        <v>30</v>
      </c>
      <c r="B5" s="34" t="s">
        <v>11</v>
      </c>
      <c r="C5" s="34" t="s">
        <v>31</v>
      </c>
      <c r="D5" s="34" t="s">
        <v>32</v>
      </c>
      <c r="E5" s="28"/>
      <c r="F5" s="28"/>
      <c r="G5" s="28"/>
      <c r="H5" s="28"/>
      <c r="I5" s="34" t="s">
        <v>34</v>
      </c>
    </row>
    <row r="6" spans="1:9" ht="84.95" customHeight="1">
      <c r="A6" s="34" t="s">
        <v>35</v>
      </c>
      <c r="B6" s="34" t="s">
        <v>11</v>
      </c>
      <c r="C6" s="34" t="s">
        <v>36</v>
      </c>
      <c r="D6" s="34" t="s">
        <v>37</v>
      </c>
      <c r="E6" s="28"/>
      <c r="F6" s="28"/>
      <c r="G6" s="28"/>
      <c r="H6" s="28"/>
      <c r="I6" s="34" t="s">
        <v>39</v>
      </c>
    </row>
    <row r="7" spans="1:9" ht="84.95" customHeight="1">
      <c r="A7" s="34" t="s">
        <v>40</v>
      </c>
      <c r="B7" s="34" t="s">
        <v>11</v>
      </c>
      <c r="C7" s="34" t="s">
        <v>41</v>
      </c>
      <c r="D7" s="34" t="s">
        <v>42</v>
      </c>
      <c r="E7" s="28"/>
      <c r="F7" s="28"/>
      <c r="G7" s="28"/>
      <c r="H7" s="28"/>
      <c r="I7" s="34" t="s">
        <v>43</v>
      </c>
    </row>
    <row r="8" spans="1:9" ht="84.95" customHeight="1">
      <c r="A8" s="34" t="s">
        <v>44</v>
      </c>
      <c r="B8" s="34" t="s">
        <v>11</v>
      </c>
      <c r="C8" s="34" t="s">
        <v>45</v>
      </c>
      <c r="D8" s="34" t="s">
        <v>46</v>
      </c>
      <c r="E8" s="28"/>
      <c r="F8" s="28"/>
      <c r="G8" s="28"/>
      <c r="H8" s="28"/>
      <c r="I8" s="34"/>
    </row>
    <row r="9" spans="1:9" ht="84.95" customHeight="1">
      <c r="A9" s="34" t="s">
        <v>47</v>
      </c>
      <c r="B9" s="34" t="s">
        <v>11</v>
      </c>
      <c r="C9" s="34" t="s">
        <v>48</v>
      </c>
      <c r="D9" s="34" t="s">
        <v>49</v>
      </c>
      <c r="E9" s="28"/>
      <c r="F9" s="28"/>
      <c r="G9" s="28"/>
      <c r="H9" s="28"/>
      <c r="I9" s="34"/>
    </row>
    <row r="10" spans="1:9" ht="84.95" customHeight="1">
      <c r="A10" s="34" t="s">
        <v>50</v>
      </c>
      <c r="B10" s="34" t="s">
        <v>11</v>
      </c>
      <c r="C10" s="34" t="s">
        <v>51</v>
      </c>
      <c r="D10" s="34" t="s">
        <v>52</v>
      </c>
      <c r="E10" s="28"/>
      <c r="F10" s="28"/>
      <c r="G10" s="28"/>
      <c r="H10" s="28"/>
      <c r="I10" s="34"/>
    </row>
    <row r="11" spans="1:9" ht="84.95" customHeight="1">
      <c r="A11" s="34" t="s">
        <v>53</v>
      </c>
      <c r="B11" s="34" t="s">
        <v>11</v>
      </c>
      <c r="C11" s="34" t="s">
        <v>54</v>
      </c>
      <c r="D11" s="34" t="s">
        <v>55</v>
      </c>
      <c r="E11" s="28"/>
      <c r="F11" s="28"/>
      <c r="G11" s="28"/>
      <c r="H11" s="28"/>
      <c r="I11" s="34"/>
    </row>
    <row r="12" spans="1:9" ht="84.95" customHeight="1">
      <c r="A12" s="34" t="s">
        <v>56</v>
      </c>
      <c r="B12" s="34" t="s">
        <v>11</v>
      </c>
      <c r="C12" s="34" t="s">
        <v>57</v>
      </c>
      <c r="D12" s="34" t="s">
        <v>58</v>
      </c>
      <c r="E12" s="28"/>
      <c r="F12" s="28">
        <v>5</v>
      </c>
      <c r="G12" s="28"/>
      <c r="H12" s="28"/>
      <c r="I12" s="34"/>
    </row>
    <row r="13" spans="1:9" ht="84.95" customHeight="1">
      <c r="A13" s="34" t="s">
        <v>60</v>
      </c>
      <c r="B13" s="34" t="s">
        <v>11</v>
      </c>
      <c r="C13" s="34" t="s">
        <v>61</v>
      </c>
      <c r="D13" s="34" t="s">
        <v>62</v>
      </c>
      <c r="E13" s="28"/>
      <c r="F13" s="28">
        <v>5</v>
      </c>
      <c r="G13" s="28"/>
      <c r="H13" s="28"/>
      <c r="I13" s="34"/>
    </row>
    <row r="14" spans="1:9" ht="84.95" customHeight="1">
      <c r="A14" s="34" t="s">
        <v>63</v>
      </c>
      <c r="B14" s="34" t="s">
        <v>11</v>
      </c>
      <c r="C14" s="34" t="s">
        <v>64</v>
      </c>
      <c r="D14" s="34" t="s">
        <v>65</v>
      </c>
      <c r="E14" s="28"/>
      <c r="F14" s="28">
        <v>5</v>
      </c>
      <c r="G14" s="28"/>
      <c r="H14" s="28"/>
      <c r="I14" s="34"/>
    </row>
    <row r="15" spans="1:9" ht="84.95" customHeight="1">
      <c r="A15" s="34" t="s">
        <v>66</v>
      </c>
      <c r="B15" s="34" t="s">
        <v>67</v>
      </c>
      <c r="C15" s="34" t="s">
        <v>68</v>
      </c>
      <c r="D15" s="34" t="s">
        <v>69</v>
      </c>
      <c r="E15" s="28"/>
      <c r="F15" s="28"/>
      <c r="G15" s="28"/>
      <c r="H15" s="28"/>
      <c r="I15" s="34"/>
    </row>
    <row r="16" spans="1:9" ht="84.95" customHeight="1">
      <c r="A16" s="34" t="s">
        <v>70</v>
      </c>
      <c r="B16" s="34" t="s">
        <v>67</v>
      </c>
      <c r="C16" s="34" t="s">
        <v>71</v>
      </c>
      <c r="D16" s="34" t="s">
        <v>72</v>
      </c>
      <c r="E16" s="28"/>
      <c r="F16" s="28"/>
      <c r="G16" s="28"/>
      <c r="H16" s="28"/>
      <c r="I16" s="34" t="s">
        <v>73</v>
      </c>
    </row>
    <row r="17" spans="1:9" ht="84.95" customHeight="1">
      <c r="A17" s="34" t="s">
        <v>74</v>
      </c>
      <c r="B17" s="34" t="s">
        <v>67</v>
      </c>
      <c r="C17" s="34" t="s">
        <v>75</v>
      </c>
      <c r="D17" s="34" t="s">
        <v>76</v>
      </c>
      <c r="E17" s="28"/>
      <c r="F17" s="28"/>
      <c r="G17" s="28"/>
      <c r="H17" s="28"/>
      <c r="I17" s="34"/>
    </row>
    <row r="18" spans="1:9" ht="48" customHeight="1">
      <c r="A18" s="35"/>
      <c r="B18" s="35"/>
      <c r="C18" s="35"/>
      <c r="D18" s="35"/>
      <c r="E18" s="35"/>
      <c r="F18" s="35"/>
      <c r="G18" s="35"/>
      <c r="H18" s="35"/>
      <c r="I18" s="35"/>
    </row>
    <row r="19" spans="1:9" ht="39.950000000000003" customHeight="1">
      <c r="A19" s="3" t="s">
        <v>77</v>
      </c>
      <c r="B19" s="6" t="s">
        <v>78</v>
      </c>
      <c r="C19" s="6"/>
      <c r="D19" s="7"/>
      <c r="E19" s="12" t="s">
        <v>79</v>
      </c>
      <c r="F19" s="18">
        <f>SUM(F2:F17)</f>
        <v>23</v>
      </c>
    </row>
    <row r="20" spans="1:9" ht="35.1" customHeight="1">
      <c r="A20" s="4" t="s">
        <v>80</v>
      </c>
      <c r="B20" s="8" t="s">
        <v>81</v>
      </c>
      <c r="C20" s="8"/>
      <c r="D20" s="9"/>
    </row>
    <row r="21" spans="1:9" ht="35.1" customHeight="1">
      <c r="A21" s="4" t="s">
        <v>82</v>
      </c>
      <c r="B21" s="8" t="s">
        <v>160</v>
      </c>
      <c r="C21" s="8"/>
      <c r="D21" s="9"/>
    </row>
    <row r="22" spans="1:9" ht="35.1" customHeight="1">
      <c r="A22" s="5" t="s">
        <v>84</v>
      </c>
      <c r="B22" s="10" t="s">
        <v>85</v>
      </c>
      <c r="C22" s="10"/>
      <c r="D22" s="11"/>
    </row>
    <row r="23" spans="1:9">
      <c r="A23" s="1"/>
    </row>
  </sheetData>
  <dataValidations count="2">
    <dataValidation type="list" allowBlank="1" showInputMessage="1" showErrorMessage="1" sqref="E2:E17" xr:uid="{F7F2E763-DFF8-433F-94F7-886A56F33E9A}">
      <formula1>"Must, Could, Should, Will Not Have"</formula1>
    </dataValidation>
    <dataValidation type="list" allowBlank="1" showInputMessage="1" showErrorMessage="1" sqref="G1:G1048576" xr:uid="{74D05875-0A8A-4422-BAD3-8654946CDD01}">
      <formula1>"Rafaela, Vanessa, Chintan, Krishna, Sai, Sanket"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Rafaela Hollanda</cp:lastModifiedBy>
  <cp:revision/>
  <dcterms:created xsi:type="dcterms:W3CDTF">2026-02-19T23:27:01Z</dcterms:created>
  <dcterms:modified xsi:type="dcterms:W3CDTF">2026-03-18T00:49:35Z</dcterms:modified>
  <cp:category/>
  <cp:contentStatus/>
</cp:coreProperties>
</file>